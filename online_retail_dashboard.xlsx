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New vs Returning" sheetId="3" state="visible" r:id="rId3"/>
    <sheet xmlns:r="http://schemas.openxmlformats.org/officeDocument/2006/relationships" name="RFM Segments" sheetId="4" state="visible" r:id="rId4"/>
    <sheet xmlns:r="http://schemas.openxmlformats.org/officeDocument/2006/relationships" name="Day-Hour Heatmap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Top Countries" sheetId="7" state="visible" r:id="rId7"/>
    <sheet xmlns:r="http://schemas.openxmlformats.org/officeDocument/2006/relationships" name="Top Customers" sheetId="8" state="visible" r:id="rId8"/>
    <sheet xmlns:r="http://schemas.openxmlformats.org/officeDocument/2006/relationships" name="Notes" sheetId="9" state="visible" r:id="rId9"/>
  </sheets>
  <definedNames>
    <definedName name="_xlnm.Print_Area" localSheetId="0">'Dashboard'!$A$1:$P$69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134E4A"/>
      <sz val="11"/>
    </font>
    <font>
      <name val="Arial"/>
      <b val="1"/>
      <color rgb="000F172A"/>
      <sz val="10"/>
    </font>
    <font>
      <name val="Arial"/>
      <sz val="9"/>
    </font>
    <font>
      <name val="Arial"/>
      <b val="1"/>
      <color rgb="00134E4A"/>
      <sz val="14"/>
    </font>
    <font>
      <name val="Arial"/>
      <b val="1"/>
      <color rgb="00FFFFFF"/>
      <sz val="20"/>
    </font>
    <font>
      <name val="Arial"/>
      <i val="1"/>
      <color rgb="00334155"/>
      <sz val="10"/>
    </font>
    <font>
      <name val="Arial"/>
      <b val="1"/>
      <color rgb="00FFFFFF"/>
      <sz val="9"/>
    </font>
    <font>
      <name val="Arial"/>
      <b val="1"/>
      <color rgb="00134E4A"/>
      <sz val="18"/>
    </font>
    <font>
      <name val="Arial"/>
      <b val="1"/>
      <color rgb="000F766E"/>
      <sz val="18"/>
    </font>
    <font>
      <name val="Arial"/>
      <b val="1"/>
      <color rgb="00334155"/>
      <sz val="18"/>
    </font>
    <font>
      <name val="Arial"/>
      <b val="1"/>
      <color rgb="00B45309"/>
      <sz val="18"/>
    </font>
    <font>
      <name val="Arial"/>
      <b val="1"/>
      <color rgb="001E293B"/>
      <sz val="18"/>
    </font>
    <font>
      <name val="Arial"/>
      <b val="1"/>
      <color rgb="00134E4A"/>
      <sz val="12"/>
    </font>
    <font>
      <name val="Arial"/>
      <i val="1"/>
      <color rgb="00334155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134E4A"/>
      </patternFill>
    </fill>
    <fill>
      <patternFill patternType="solid">
        <fgColor rgb="000F766E"/>
      </patternFill>
    </fill>
    <fill>
      <patternFill patternType="solid">
        <fgColor rgb="00334155"/>
      </patternFill>
    </fill>
    <fill>
      <patternFill patternType="solid">
        <fgColor rgb="00B45309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CBD5E1"/>
      </left>
      <top style="medium">
        <color rgb="00CBD5E1"/>
      </top>
    </border>
    <border>
      <left style="medium">
        <color rgb="00CBD5E1"/>
      </left>
      <bottom style="medium">
        <color rgb="00CBD5E1"/>
      </bottom>
    </border>
    <border>
      <top style="medium">
        <color rgb="00CBD5E1"/>
      </top>
    </border>
    <border>
      <bottom style="medium">
        <color rgb="00CBD5E1"/>
      </bottom>
    </border>
    <border>
      <right style="medium">
        <color rgb="00CBD5E1"/>
      </right>
      <top style="medium">
        <color rgb="00CBD5E1"/>
      </top>
    </border>
    <border>
      <right style="medium">
        <color rgb="00CBD5E1"/>
      </right>
      <bottom style="medium">
        <color rgb="00CBD5E1"/>
      </bottom>
    </border>
    <border>
      <left style="medium">
        <color rgb="00CBD5E1"/>
      </left>
    </border>
    <border>
      <right style="medium">
        <color rgb="00CBD5E1"/>
      </righ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8" fillId="0" borderId="0" pivotButton="0" quotePrefix="0" xfId="0"/>
    <xf numFmtId="0" fontId="9" fillId="4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9" fillId="5" borderId="2" applyAlignment="1" pivotButton="0" quotePrefix="0" xfId="0">
      <alignment horizontal="left" vertical="center" indent="1"/>
    </xf>
    <xf numFmtId="164" fontId="10" fillId="3" borderId="3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7" pivotButton="0" quotePrefix="0" xfId="0"/>
    <xf numFmtId="3" fontId="11" fillId="3" borderId="3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left" vertical="center" indent="1"/>
    </xf>
    <xf numFmtId="165" fontId="12" fillId="3" borderId="3" applyAlignment="1" pivotButton="0" quotePrefix="0" xfId="0">
      <alignment horizontal="left" vertical="center" indent="1"/>
    </xf>
    <xf numFmtId="166" fontId="13" fillId="3" borderId="3" applyAlignment="1" pivotButton="0" quotePrefix="0" xfId="0">
      <alignment horizontal="left" vertical="center" indent="1"/>
    </xf>
    <xf numFmtId="49" fontId="14" fillId="3" borderId="3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1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Dashboard build</author>
  </authors>
  <commentList>
    <comment ref="M6" authorId="0" shapeId="0">
      <text>
        <t>Computed from the full cleaned dataset; not a live formula. Re-run the script to refresh.</t>
      </text>
    </comment>
    <comment ref="G9" authorId="0" shapeId="0">
      <text>
        <t>Share of customers with more than one order, from the full cleaned dataset.</t>
      </text>
    </comment>
    <comment ref="M9" authorId="0" shapeId="0">
      <text>
        <t>Day/hour with highest revenue, from the Day-Hour Heatmap sheet.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42975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4572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4572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49</row>
      <rowOff>0</rowOff>
    </from>
    <ext cx="4572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8"/>
  <sheetViews>
    <sheetView showGridLines="0" workbookViewId="0">
      <selection activeCell="A1" sqref="A1"/>
    </sheetView>
  </sheetViews>
  <sheetFormatPr baseColWidth="8" defaultRowHeight="15"/>
  <cols>
    <col width="8.199999999999999" customWidth="1" min="1" max="1"/>
    <col width="8.199999999999999" customWidth="1" min="2" max="2"/>
    <col width="8.199999999999999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</cols>
  <sheetData>
    <row r="1">
      <c r="A1" s="1" t="inlineStr">
        <is>
          <t>Online Retail — Customer &amp; Sales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3">
        <f>"Period: " &amp; 'Monthly Trend'!A2 &amp; " to " &amp; 'Monthly Trend'!A26 &amp; " | Source data refreshed via script"</f>
        <v/>
      </c>
    </row>
    <row r="5" ht="16" customHeight="1">
      <c r="A5" s="4" t="inlineStr">
        <is>
          <t>TOTAL REVENUE</t>
        </is>
      </c>
      <c r="B5" s="5" t="n"/>
      <c r="C5" s="5" t="n"/>
      <c r="D5" s="5" t="n"/>
      <c r="E5" s="6" t="n"/>
      <c r="G5" s="7" t="inlineStr">
        <is>
          <t>TOTAL ORDERS</t>
        </is>
      </c>
      <c r="H5" s="5" t="n"/>
      <c r="I5" s="5" t="n"/>
      <c r="J5" s="5" t="n"/>
      <c r="K5" s="6" t="n"/>
      <c r="M5" s="7" t="inlineStr">
        <is>
          <t>UNIQUE CUSTOMERS</t>
        </is>
      </c>
      <c r="N5" s="5" t="n"/>
      <c r="O5" s="5" t="n"/>
      <c r="P5" s="5" t="n"/>
      <c r="Q5" s="6" t="n"/>
    </row>
    <row r="6" ht="30" customHeight="1">
      <c r="A6" s="8">
        <f>SUM('Monthly Trend'!B2:B26)</f>
        <v/>
      </c>
      <c r="B6" s="9" t="n"/>
      <c r="C6" s="9" t="n"/>
      <c r="D6" s="9" t="n"/>
      <c r="E6" s="10" t="n"/>
      <c r="G6" s="11">
        <f>SUM('Monthly Trend'!C2:C26)</f>
        <v/>
      </c>
      <c r="H6" s="9" t="n"/>
      <c r="I6" s="9" t="n"/>
      <c r="J6" s="9" t="n"/>
      <c r="K6" s="10" t="n"/>
      <c r="M6" s="11" t="n">
        <v>5878</v>
      </c>
      <c r="N6" s="9" t="n"/>
      <c r="O6" s="9" t="n"/>
      <c r="P6" s="9" t="n"/>
      <c r="Q6" s="10" t="n"/>
    </row>
    <row r="8" ht="16" customHeight="1">
      <c r="A8" s="12" t="inlineStr">
        <is>
          <t>AVG ORDER VALUE</t>
        </is>
      </c>
      <c r="B8" s="5" t="n"/>
      <c r="C8" s="5" t="n"/>
      <c r="D8" s="5" t="n"/>
      <c r="E8" s="6" t="n"/>
      <c r="G8" s="13" t="inlineStr">
        <is>
          <t>REPEAT PURCHASE RATE</t>
        </is>
      </c>
      <c r="H8" s="5" t="n"/>
      <c r="I8" s="5" t="n"/>
      <c r="J8" s="5" t="n"/>
      <c r="K8" s="6" t="n"/>
      <c r="M8" s="14" t="inlineStr">
        <is>
          <t>BUSIEST DAY / HOUR</t>
        </is>
      </c>
      <c r="N8" s="5" t="n"/>
      <c r="O8" s="5" t="n"/>
      <c r="P8" s="5" t="n"/>
      <c r="Q8" s="6" t="n"/>
    </row>
    <row r="9" ht="30" customHeight="1">
      <c r="A9" s="15">
        <f>SUM('Monthly Trend'!B2:B26)/SUM('Monthly Trend'!C2:C26)</f>
        <v/>
      </c>
      <c r="B9" s="9" t="n"/>
      <c r="C9" s="9" t="n"/>
      <c r="D9" s="9" t="n"/>
      <c r="E9" s="10" t="n"/>
      <c r="G9" s="16" t="n">
        <v>0.7238856753997959</v>
      </c>
      <c r="H9" s="9" t="n"/>
      <c r="I9" s="9" t="n"/>
      <c r="J9" s="9" t="n"/>
      <c r="K9" s="10" t="n"/>
      <c r="M9" s="17" t="inlineStr">
        <is>
          <t>Thursday, 12:00</t>
        </is>
      </c>
      <c r="N9" s="9" t="n"/>
      <c r="O9" s="9" t="n"/>
      <c r="P9" s="9" t="n"/>
      <c r="Q9" s="10" t="n"/>
    </row>
    <row r="11">
      <c r="A11" s="18" t="inlineStr">
        <is>
          <t>Monthly Revenue Trend</t>
        </is>
      </c>
    </row>
    <row r="12">
      <c r="A12" s="19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 t="n"/>
    </row>
    <row r="13">
      <c r="A13" s="20" t="n"/>
      <c r="P13" s="21" t="n"/>
    </row>
    <row r="14">
      <c r="A14" s="20" t="n"/>
      <c r="P14" s="21" t="n"/>
    </row>
    <row r="15">
      <c r="A15" s="20" t="n"/>
      <c r="P15" s="21" t="n"/>
    </row>
    <row r="16">
      <c r="A16" s="20" t="n"/>
      <c r="P16" s="21" t="n"/>
    </row>
    <row r="17">
      <c r="A17" s="20" t="n"/>
      <c r="P17" s="21" t="n"/>
    </row>
    <row r="18">
      <c r="A18" s="20" t="n"/>
      <c r="P18" s="21" t="n"/>
    </row>
    <row r="19">
      <c r="A19" s="20" t="n"/>
      <c r="P19" s="21" t="n"/>
    </row>
    <row r="20">
      <c r="A20" s="20" t="n"/>
      <c r="P20" s="21" t="n"/>
    </row>
    <row r="21">
      <c r="A21" s="20" t="n"/>
      <c r="P21" s="21" t="n"/>
    </row>
    <row r="22">
      <c r="A22" s="20" t="n"/>
      <c r="P22" s="21" t="n"/>
    </row>
    <row r="23">
      <c r="A23" s="20" t="n"/>
      <c r="P23" s="21" t="n"/>
    </row>
    <row r="24">
      <c r="A24" s="20" t="n"/>
      <c r="P24" s="21" t="n"/>
    </row>
    <row r="25">
      <c r="A25" s="20" t="n"/>
      <c r="P25" s="21" t="n"/>
    </row>
    <row r="26">
      <c r="A26" s="20" t="n"/>
      <c r="P26" s="21" t="n"/>
    </row>
    <row r="27">
      <c r="A27" s="20" t="n"/>
      <c r="P27" s="21" t="n"/>
    </row>
    <row r="28">
      <c r="A28" s="22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</row>
    <row r="30">
      <c r="A30" s="18" t="inlineStr">
        <is>
          <t>New vs Returning Customer Revenue</t>
        </is>
      </c>
      <c r="I30" s="18" t="inlineStr">
        <is>
          <t>Customer Segments (RFM)</t>
        </is>
      </c>
    </row>
    <row r="31">
      <c r="A31" s="19" t="n"/>
      <c r="B31" s="5" t="n"/>
      <c r="C31" s="5" t="n"/>
      <c r="D31" s="5" t="n"/>
      <c r="E31" s="5" t="n"/>
      <c r="F31" s="5" t="n"/>
      <c r="G31" s="5" t="n"/>
      <c r="H31" s="6" t="n"/>
      <c r="I31" s="19" t="n"/>
      <c r="J31" s="5" t="n"/>
      <c r="K31" s="5" t="n"/>
      <c r="L31" s="5" t="n"/>
      <c r="M31" s="5" t="n"/>
      <c r="N31" s="5" t="n"/>
      <c r="O31" s="5" t="n"/>
      <c r="P31" s="6" t="n"/>
    </row>
    <row r="32">
      <c r="A32" s="20" t="n"/>
      <c r="H32" s="21" t="n"/>
      <c r="I32" s="20" t="n"/>
      <c r="P32" s="21" t="n"/>
    </row>
    <row r="33">
      <c r="A33" s="20" t="n"/>
      <c r="H33" s="21" t="n"/>
      <c r="I33" s="20" t="n"/>
      <c r="P33" s="21" t="n"/>
    </row>
    <row r="34">
      <c r="A34" s="20" t="n"/>
      <c r="H34" s="21" t="n"/>
      <c r="I34" s="20" t="n"/>
      <c r="P34" s="21" t="n"/>
    </row>
    <row r="35">
      <c r="A35" s="20" t="n"/>
      <c r="H35" s="21" t="n"/>
      <c r="I35" s="20" t="n"/>
      <c r="P35" s="21" t="n"/>
    </row>
    <row r="36">
      <c r="A36" s="20" t="n"/>
      <c r="H36" s="21" t="n"/>
      <c r="I36" s="20" t="n"/>
      <c r="P36" s="21" t="n"/>
    </row>
    <row r="37">
      <c r="A37" s="20" t="n"/>
      <c r="H37" s="21" t="n"/>
      <c r="I37" s="20" t="n"/>
      <c r="P37" s="21" t="n"/>
    </row>
    <row r="38">
      <c r="A38" s="20" t="n"/>
      <c r="H38" s="21" t="n"/>
      <c r="I38" s="20" t="n"/>
      <c r="P38" s="21" t="n"/>
    </row>
    <row r="39">
      <c r="A39" s="20" t="n"/>
      <c r="H39" s="21" t="n"/>
      <c r="I39" s="20" t="n"/>
      <c r="P39" s="21" t="n"/>
    </row>
    <row r="40">
      <c r="A40" s="20" t="n"/>
      <c r="H40" s="21" t="n"/>
      <c r="I40" s="20" t="n"/>
      <c r="P40" s="21" t="n"/>
    </row>
    <row r="41">
      <c r="A41" s="20" t="n"/>
      <c r="H41" s="21" t="n"/>
      <c r="I41" s="20" t="n"/>
      <c r="P41" s="21" t="n"/>
    </row>
    <row r="42">
      <c r="A42" s="20" t="n"/>
      <c r="H42" s="21" t="n"/>
      <c r="I42" s="20" t="n"/>
      <c r="P42" s="21" t="n"/>
    </row>
    <row r="43">
      <c r="A43" s="20" t="n"/>
      <c r="H43" s="21" t="n"/>
      <c r="I43" s="20" t="n"/>
      <c r="P43" s="21" t="n"/>
    </row>
    <row r="44">
      <c r="A44" s="20" t="n"/>
      <c r="H44" s="21" t="n"/>
      <c r="I44" s="20" t="n"/>
      <c r="P44" s="21" t="n"/>
    </row>
    <row r="45">
      <c r="A45" s="20" t="n"/>
      <c r="H45" s="21" t="n"/>
      <c r="I45" s="20" t="n"/>
      <c r="P45" s="21" t="n"/>
    </row>
    <row r="46">
      <c r="A46" s="20" t="n"/>
      <c r="H46" s="21" t="n"/>
      <c r="I46" s="20" t="n"/>
      <c r="P46" s="21" t="n"/>
    </row>
    <row r="47">
      <c r="A47" s="22" t="n"/>
      <c r="B47" s="9" t="n"/>
      <c r="C47" s="9" t="n"/>
      <c r="D47" s="9" t="n"/>
      <c r="E47" s="9" t="n"/>
      <c r="F47" s="9" t="n"/>
      <c r="G47" s="9" t="n"/>
      <c r="H47" s="10" t="n"/>
      <c r="I47" s="22" t="n"/>
      <c r="J47" s="9" t="n"/>
      <c r="K47" s="9" t="n"/>
      <c r="L47" s="9" t="n"/>
      <c r="M47" s="9" t="n"/>
      <c r="N47" s="9" t="n"/>
      <c r="O47" s="9" t="n"/>
      <c r="P47" s="10" t="n"/>
    </row>
    <row r="49">
      <c r="A49" s="18" t="inlineStr">
        <is>
          <t>Revenue by Country (Top 8)</t>
        </is>
      </c>
      <c r="I49" s="18" t="inlineStr">
        <is>
          <t>Top 10 Products by Revenue</t>
        </is>
      </c>
    </row>
    <row r="50">
      <c r="A50" s="19" t="n"/>
      <c r="B50" s="5" t="n"/>
      <c r="C50" s="5" t="n"/>
      <c r="D50" s="5" t="n"/>
      <c r="E50" s="5" t="n"/>
      <c r="F50" s="5" t="n"/>
      <c r="G50" s="5" t="n"/>
      <c r="H50" s="6" t="n"/>
      <c r="I50" s="19" t="n"/>
      <c r="J50" s="5" t="n"/>
      <c r="K50" s="5" t="n"/>
      <c r="L50" s="5" t="n"/>
      <c r="M50" s="5" t="n"/>
      <c r="N50" s="5" t="n"/>
      <c r="O50" s="5" t="n"/>
      <c r="P50" s="6" t="n"/>
    </row>
    <row r="51">
      <c r="A51" s="20" t="n"/>
      <c r="H51" s="21" t="n"/>
      <c r="I51" s="20" t="n"/>
      <c r="P51" s="21" t="n"/>
    </row>
    <row r="52">
      <c r="A52" s="20" t="n"/>
      <c r="H52" s="21" t="n"/>
      <c r="I52" s="20" t="n"/>
      <c r="P52" s="21" t="n"/>
    </row>
    <row r="53">
      <c r="A53" s="20" t="n"/>
      <c r="H53" s="21" t="n"/>
      <c r="I53" s="20" t="n"/>
      <c r="P53" s="21" t="n"/>
    </row>
    <row r="54">
      <c r="A54" s="20" t="n"/>
      <c r="H54" s="21" t="n"/>
      <c r="I54" s="20" t="n"/>
      <c r="P54" s="21" t="n"/>
    </row>
    <row r="55">
      <c r="A55" s="20" t="n"/>
      <c r="H55" s="21" t="n"/>
      <c r="I55" s="20" t="n"/>
      <c r="P55" s="21" t="n"/>
    </row>
    <row r="56">
      <c r="A56" s="20" t="n"/>
      <c r="H56" s="21" t="n"/>
      <c r="I56" s="20" t="n"/>
      <c r="P56" s="21" t="n"/>
    </row>
    <row r="57">
      <c r="A57" s="20" t="n"/>
      <c r="H57" s="21" t="n"/>
      <c r="I57" s="20" t="n"/>
      <c r="P57" s="21" t="n"/>
    </row>
    <row r="58">
      <c r="A58" s="20" t="n"/>
      <c r="H58" s="21" t="n"/>
      <c r="I58" s="20" t="n"/>
      <c r="P58" s="21" t="n"/>
    </row>
    <row r="59">
      <c r="A59" s="20" t="n"/>
      <c r="H59" s="21" t="n"/>
      <c r="I59" s="20" t="n"/>
      <c r="P59" s="21" t="n"/>
    </row>
    <row r="60">
      <c r="A60" s="20" t="n"/>
      <c r="H60" s="21" t="n"/>
      <c r="I60" s="20" t="n"/>
      <c r="P60" s="21" t="n"/>
    </row>
    <row r="61">
      <c r="A61" s="20" t="n"/>
      <c r="H61" s="21" t="n"/>
      <c r="I61" s="20" t="n"/>
      <c r="P61" s="21" t="n"/>
    </row>
    <row r="62">
      <c r="A62" s="20" t="n"/>
      <c r="H62" s="21" t="n"/>
      <c r="I62" s="20" t="n"/>
      <c r="P62" s="21" t="n"/>
    </row>
    <row r="63">
      <c r="A63" s="20" t="n"/>
      <c r="H63" s="21" t="n"/>
      <c r="I63" s="20" t="n"/>
      <c r="P63" s="21" t="n"/>
    </row>
    <row r="64">
      <c r="A64" s="20" t="n"/>
      <c r="H64" s="21" t="n"/>
      <c r="I64" s="20" t="n"/>
      <c r="P64" s="21" t="n"/>
    </row>
    <row r="65">
      <c r="A65" s="20" t="n"/>
      <c r="H65" s="21" t="n"/>
      <c r="I65" s="20" t="n"/>
      <c r="P65" s="21" t="n"/>
    </row>
    <row r="66">
      <c r="A66" s="22" t="n"/>
      <c r="B66" s="9" t="n"/>
      <c r="C66" s="9" t="n"/>
      <c r="D66" s="9" t="n"/>
      <c r="E66" s="9" t="n"/>
      <c r="F66" s="9" t="n"/>
      <c r="G66" s="9" t="n"/>
      <c r="H66" s="10" t="n"/>
      <c r="I66" s="22" t="n"/>
      <c r="J66" s="9" t="n"/>
      <c r="K66" s="9" t="n"/>
      <c r="L66" s="9" t="n"/>
      <c r="M66" s="9" t="n"/>
      <c r="N66" s="9" t="n"/>
      <c r="O66" s="9" t="n"/>
      <c r="P66" s="10" t="n"/>
    </row>
    <row r="68">
      <c r="A68" s="23" t="inlineStr">
        <is>
          <t>Full breakdowns and methodology: see Monthly Trend, RFM Segments, Day-Hour Heatmap, Top Products, Top Countries, Top Customers, and Notes tabs.</t>
        </is>
      </c>
    </row>
  </sheetData>
  <mergeCells count="20">
    <mergeCell ref="A30:H30"/>
    <mergeCell ref="I30:P30"/>
    <mergeCell ref="A1:P2"/>
    <mergeCell ref="I49:P49"/>
    <mergeCell ref="A49:H49"/>
    <mergeCell ref="M9:Q9"/>
    <mergeCell ref="M5:Q5"/>
    <mergeCell ref="A6:E6"/>
    <mergeCell ref="G8:K8"/>
    <mergeCell ref="A68:P68"/>
    <mergeCell ref="G6:K6"/>
    <mergeCell ref="A11:P11"/>
    <mergeCell ref="M6:Q6"/>
    <mergeCell ref="A5:E5"/>
    <mergeCell ref="G5:K5"/>
    <mergeCell ref="A8:E8"/>
    <mergeCell ref="M8:Q8"/>
    <mergeCell ref="A3:P3"/>
    <mergeCell ref="A9:E9"/>
    <mergeCell ref="G9:K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</cols>
  <sheetData>
    <row r="1">
      <c r="A1" s="24" t="inlineStr">
        <is>
          <t>Month</t>
        </is>
      </c>
      <c r="B1" s="24" t="inlineStr">
        <is>
          <t>Revenue</t>
        </is>
      </c>
      <c r="C1" s="24" t="inlineStr">
        <is>
          <t>Orders</t>
        </is>
      </c>
      <c r="D1" s="24" t="inlineStr">
        <is>
          <t>Customers</t>
        </is>
      </c>
      <c r="E1" s="24" t="inlineStr">
        <is>
          <t>Quantity</t>
        </is>
      </c>
    </row>
    <row r="2">
      <c r="A2" s="25" t="inlineStr">
        <is>
          <t>2009-12</t>
        </is>
      </c>
      <c r="B2" s="26" t="n">
        <v>825685.76</v>
      </c>
      <c r="C2" s="25" t="n">
        <v>1682</v>
      </c>
      <c r="D2" s="25" t="n">
        <v>955</v>
      </c>
      <c r="E2" s="25" t="n">
        <v>426981</v>
      </c>
    </row>
    <row r="3">
      <c r="A3" s="27" t="inlineStr">
        <is>
          <t>2010-01</t>
        </is>
      </c>
      <c r="B3" s="28" t="n">
        <v>652708.502</v>
      </c>
      <c r="C3" s="27" t="n">
        <v>1105</v>
      </c>
      <c r="D3" s="27" t="n">
        <v>720</v>
      </c>
      <c r="E3" s="27" t="n">
        <v>391525</v>
      </c>
    </row>
    <row r="4">
      <c r="A4" s="25" t="inlineStr">
        <is>
          <t>2010-02</t>
        </is>
      </c>
      <c r="B4" s="26" t="n">
        <v>553339.736</v>
      </c>
      <c r="C4" s="25" t="n">
        <v>1201</v>
      </c>
      <c r="D4" s="25" t="n">
        <v>772</v>
      </c>
      <c r="E4" s="25" t="n">
        <v>382781</v>
      </c>
    </row>
    <row r="5">
      <c r="A5" s="27" t="inlineStr">
        <is>
          <t>2010-03</t>
        </is>
      </c>
      <c r="B5" s="28" t="n">
        <v>833570.1310000001</v>
      </c>
      <c r="C5" s="27" t="n">
        <v>1681</v>
      </c>
      <c r="D5" s="27" t="n">
        <v>1057</v>
      </c>
      <c r="E5" s="27" t="n">
        <v>527401</v>
      </c>
    </row>
    <row r="6">
      <c r="A6" s="25" t="inlineStr">
        <is>
          <t>2010-04</t>
        </is>
      </c>
      <c r="B6" s="26" t="n">
        <v>681528.992</v>
      </c>
      <c r="C6" s="25" t="n">
        <v>1462</v>
      </c>
      <c r="D6" s="25" t="n">
        <v>942</v>
      </c>
      <c r="E6" s="25" t="n">
        <v>368198</v>
      </c>
    </row>
    <row r="7">
      <c r="A7" s="27" t="inlineStr">
        <is>
          <t>2010-05</t>
        </is>
      </c>
      <c r="B7" s="28" t="n">
        <v>659858.86</v>
      </c>
      <c r="C7" s="27" t="n">
        <v>1500</v>
      </c>
      <c r="D7" s="27" t="n">
        <v>966</v>
      </c>
      <c r="E7" s="27" t="n">
        <v>397206</v>
      </c>
    </row>
    <row r="8">
      <c r="A8" s="25" t="inlineStr">
        <is>
          <t>2010-06</t>
        </is>
      </c>
      <c r="B8" s="26" t="n">
        <v>752270.14</v>
      </c>
      <c r="C8" s="25" t="n">
        <v>1645</v>
      </c>
      <c r="D8" s="25" t="n">
        <v>1041</v>
      </c>
      <c r="E8" s="25" t="n">
        <v>408636</v>
      </c>
    </row>
    <row r="9">
      <c r="A9" s="27" t="inlineStr">
        <is>
          <t>2010-07</t>
        </is>
      </c>
      <c r="B9" s="28" t="n">
        <v>650712.9399999999</v>
      </c>
      <c r="C9" s="27" t="n">
        <v>1529</v>
      </c>
      <c r="D9" s="27" t="n">
        <v>928</v>
      </c>
      <c r="E9" s="27" t="n">
        <v>338920</v>
      </c>
    </row>
    <row r="10">
      <c r="A10" s="25" t="inlineStr">
        <is>
          <t>2010-08</t>
        </is>
      </c>
      <c r="B10" s="26" t="n">
        <v>697274.91</v>
      </c>
      <c r="C10" s="25" t="n">
        <v>1425</v>
      </c>
      <c r="D10" s="25" t="n">
        <v>911</v>
      </c>
      <c r="E10" s="25" t="n">
        <v>473420</v>
      </c>
    </row>
    <row r="11">
      <c r="A11" s="27" t="inlineStr">
        <is>
          <t>2010-09</t>
        </is>
      </c>
      <c r="B11" s="28" t="n">
        <v>924333.0109999999</v>
      </c>
      <c r="C11" s="27" t="n">
        <v>1839</v>
      </c>
      <c r="D11" s="27" t="n">
        <v>1145</v>
      </c>
      <c r="E11" s="27" t="n">
        <v>585357</v>
      </c>
    </row>
    <row r="12">
      <c r="A12" s="25" t="inlineStr">
        <is>
          <t>2010-10</t>
        </is>
      </c>
      <c r="B12" s="26" t="n">
        <v>1165483.91</v>
      </c>
      <c r="C12" s="25" t="n">
        <v>2301</v>
      </c>
      <c r="D12" s="25" t="n">
        <v>1497</v>
      </c>
      <c r="E12" s="25" t="n">
        <v>622095</v>
      </c>
    </row>
    <row r="13">
      <c r="A13" s="27" t="inlineStr">
        <is>
          <t>2010-11</t>
        </is>
      </c>
      <c r="B13" s="28" t="n">
        <v>1470272.482</v>
      </c>
      <c r="C13" s="27" t="n">
        <v>2747</v>
      </c>
      <c r="D13" s="27" t="n">
        <v>1607</v>
      </c>
      <c r="E13" s="27" t="n">
        <v>728449</v>
      </c>
    </row>
    <row r="14">
      <c r="A14" s="25" t="inlineStr">
        <is>
          <t>2010-12</t>
        </is>
      </c>
      <c r="B14" s="26" t="n">
        <v>1262598.79</v>
      </c>
      <c r="C14" s="25" t="n">
        <v>1559</v>
      </c>
      <c r="D14" s="25" t="n">
        <v>885</v>
      </c>
      <c r="E14" s="25" t="n">
        <v>540198</v>
      </c>
    </row>
    <row r="15">
      <c r="A15" s="27" t="inlineStr">
        <is>
          <t>2011-01</t>
        </is>
      </c>
      <c r="B15" s="28" t="n">
        <v>691364.5600000001</v>
      </c>
      <c r="C15" s="27" t="n">
        <v>1086</v>
      </c>
      <c r="D15" s="27" t="n">
        <v>741</v>
      </c>
      <c r="E15" s="27" t="n">
        <v>387785</v>
      </c>
    </row>
    <row r="16">
      <c r="A16" s="25" t="inlineStr">
        <is>
          <t>2011-02</t>
        </is>
      </c>
      <c r="B16" s="26" t="n">
        <v>523631.89</v>
      </c>
      <c r="C16" s="25" t="n">
        <v>1100</v>
      </c>
      <c r="D16" s="25" t="n">
        <v>758</v>
      </c>
      <c r="E16" s="25" t="n">
        <v>283555</v>
      </c>
    </row>
    <row r="17">
      <c r="A17" s="27" t="inlineStr">
        <is>
          <t>2011-03</t>
        </is>
      </c>
      <c r="B17" s="28" t="n">
        <v>717639.36</v>
      </c>
      <c r="C17" s="27" t="n">
        <v>1454</v>
      </c>
      <c r="D17" s="27" t="n">
        <v>974</v>
      </c>
      <c r="E17" s="27" t="n">
        <v>377526</v>
      </c>
    </row>
    <row r="18">
      <c r="A18" s="25" t="inlineStr">
        <is>
          <t>2011-04</t>
        </is>
      </c>
      <c r="B18" s="26" t="n">
        <v>537808.621</v>
      </c>
      <c r="C18" s="25" t="n">
        <v>1246</v>
      </c>
      <c r="D18" s="25" t="n">
        <v>856</v>
      </c>
      <c r="E18" s="25" t="n">
        <v>308815</v>
      </c>
    </row>
    <row r="19">
      <c r="A19" s="27" t="inlineStr">
        <is>
          <t>2011-05</t>
        </is>
      </c>
      <c r="B19" s="28" t="n">
        <v>770536.02</v>
      </c>
      <c r="C19" s="27" t="n">
        <v>1681</v>
      </c>
      <c r="D19" s="27" t="n">
        <v>1056</v>
      </c>
      <c r="E19" s="27" t="n">
        <v>395738</v>
      </c>
    </row>
    <row r="20">
      <c r="A20" s="25" t="inlineStr">
        <is>
          <t>2011-06</t>
        </is>
      </c>
      <c r="B20" s="26" t="n">
        <v>761739.9</v>
      </c>
      <c r="C20" s="25" t="n">
        <v>1533</v>
      </c>
      <c r="D20" s="25" t="n">
        <v>991</v>
      </c>
      <c r="E20" s="25" t="n">
        <v>389213</v>
      </c>
    </row>
    <row r="21">
      <c r="A21" s="27" t="inlineStr">
        <is>
          <t>2011-07</t>
        </is>
      </c>
      <c r="B21" s="28" t="n">
        <v>719221.191</v>
      </c>
      <c r="C21" s="27" t="n">
        <v>1475</v>
      </c>
      <c r="D21" s="27" t="n">
        <v>949</v>
      </c>
      <c r="E21" s="27" t="n">
        <v>401759</v>
      </c>
    </row>
    <row r="22">
      <c r="A22" s="25" t="inlineStr">
        <is>
          <t>2011-08</t>
        </is>
      </c>
      <c r="B22" s="26" t="n">
        <v>759138.38</v>
      </c>
      <c r="C22" s="25" t="n">
        <v>1361</v>
      </c>
      <c r="D22" s="25" t="n">
        <v>935</v>
      </c>
      <c r="E22" s="25" t="n">
        <v>421770</v>
      </c>
    </row>
    <row r="23">
      <c r="A23" s="27" t="inlineStr">
        <is>
          <t>2011-09</t>
        </is>
      </c>
      <c r="B23" s="28" t="n">
        <v>1058590.172</v>
      </c>
      <c r="C23" s="27" t="n">
        <v>1837</v>
      </c>
      <c r="D23" s="27" t="n">
        <v>1266</v>
      </c>
      <c r="E23" s="27" t="n">
        <v>570820</v>
      </c>
    </row>
    <row r="24">
      <c r="A24" s="25" t="inlineStr">
        <is>
          <t>2011-10</t>
        </is>
      </c>
      <c r="B24" s="26" t="n">
        <v>1154979.3</v>
      </c>
      <c r="C24" s="25" t="n">
        <v>2040</v>
      </c>
      <c r="D24" s="25" t="n">
        <v>1364</v>
      </c>
      <c r="E24" s="25" t="n">
        <v>623401</v>
      </c>
    </row>
    <row r="25">
      <c r="A25" s="27" t="inlineStr">
        <is>
          <t>2011-11</t>
        </is>
      </c>
      <c r="B25" s="28" t="n">
        <v>1509496.33</v>
      </c>
      <c r="C25" s="27" t="n">
        <v>2769</v>
      </c>
      <c r="D25" s="27" t="n">
        <v>1664</v>
      </c>
      <c r="E25" s="27" t="n">
        <v>754507</v>
      </c>
    </row>
    <row r="26">
      <c r="A26" s="25" t="inlineStr">
        <is>
          <t>2011-12</t>
        </is>
      </c>
      <c r="B26" s="26" t="n">
        <v>638810.6800000001</v>
      </c>
      <c r="C26" s="25" t="n">
        <v>819</v>
      </c>
      <c r="D26" s="25" t="n">
        <v>615</v>
      </c>
      <c r="E26" s="25" t="n">
        <v>314249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</cols>
  <sheetData>
    <row r="1">
      <c r="A1" s="24" t="inlineStr">
        <is>
          <t>Month</t>
        </is>
      </c>
      <c r="B1" s="24" t="inlineStr">
        <is>
          <t>New Customer Revenue</t>
        </is>
      </c>
      <c r="C1" s="24" t="inlineStr">
        <is>
          <t>Returning Customer Revenue</t>
        </is>
      </c>
    </row>
    <row r="2">
      <c r="A2" s="25" t="inlineStr">
        <is>
          <t>2009-12</t>
        </is>
      </c>
      <c r="B2" s="26" t="n">
        <v>686654.16</v>
      </c>
      <c r="C2" s="26" t="n">
        <v>0</v>
      </c>
    </row>
    <row r="3">
      <c r="A3" s="27" t="inlineStr">
        <is>
          <t>2010-01</t>
        </is>
      </c>
      <c r="B3" s="28" t="n">
        <v>161893.491</v>
      </c>
      <c r="C3" s="28" t="n">
        <v>395425.571</v>
      </c>
    </row>
    <row r="4">
      <c r="A4" s="25" t="inlineStr">
        <is>
          <t>2010-02</t>
        </is>
      </c>
      <c r="B4" s="26" t="n">
        <v>170434.884</v>
      </c>
      <c r="C4" s="26" t="n">
        <v>335936.182</v>
      </c>
    </row>
    <row r="5">
      <c r="A5" s="27" t="inlineStr">
        <is>
          <t>2010-03</t>
        </is>
      </c>
      <c r="B5" s="28" t="n">
        <v>235467.061</v>
      </c>
      <c r="C5" s="28" t="n">
        <v>464141.93</v>
      </c>
    </row>
    <row r="6">
      <c r="A6" s="25" t="inlineStr">
        <is>
          <t>2010-04</t>
        </is>
      </c>
      <c r="B6" s="26" t="n">
        <v>125100.731</v>
      </c>
      <c r="C6" s="26" t="n">
        <v>469508.461</v>
      </c>
    </row>
    <row r="7">
      <c r="A7" s="27" t="inlineStr">
        <is>
          <t>2010-05</t>
        </is>
      </c>
      <c r="B7" s="28" t="n">
        <v>110770</v>
      </c>
      <c r="C7" s="28" t="n">
        <v>489215.79</v>
      </c>
    </row>
    <row r="8">
      <c r="A8" s="25" t="inlineStr">
        <is>
          <t>2010-06</t>
        </is>
      </c>
      <c r="B8" s="26" t="n">
        <v>131827.95</v>
      </c>
      <c r="C8" s="26" t="n">
        <v>507238.63</v>
      </c>
    </row>
    <row r="9">
      <c r="A9" s="27" t="inlineStr">
        <is>
          <t>2010-07</t>
        </is>
      </c>
      <c r="B9" s="28" t="n">
        <v>75377.75999999999</v>
      </c>
      <c r="C9" s="28" t="n">
        <v>516258.98</v>
      </c>
    </row>
    <row r="10">
      <c r="A10" s="25" t="inlineStr">
        <is>
          <t>2010-08</t>
        </is>
      </c>
      <c r="B10" s="26" t="n">
        <v>61158.84</v>
      </c>
      <c r="C10" s="26" t="n">
        <v>543083.8100000001</v>
      </c>
    </row>
    <row r="11">
      <c r="A11" s="27" t="inlineStr">
        <is>
          <t>2010-09</t>
        </is>
      </c>
      <c r="B11" s="28" t="n">
        <v>160164.97</v>
      </c>
      <c r="C11" s="28" t="n">
        <v>671450.031</v>
      </c>
    </row>
    <row r="12">
      <c r="A12" s="25" t="inlineStr">
        <is>
          <t>2010-10</t>
        </is>
      </c>
      <c r="B12" s="26" t="n">
        <v>186049.35</v>
      </c>
      <c r="C12" s="26" t="n">
        <v>850630.65</v>
      </c>
    </row>
    <row r="13">
      <c r="A13" s="27" t="inlineStr">
        <is>
          <t>2010-11</t>
        </is>
      </c>
      <c r="B13" s="28" t="n">
        <v>154059.73</v>
      </c>
      <c r="C13" s="28" t="n">
        <v>1018276.312</v>
      </c>
    </row>
    <row r="14">
      <c r="A14" s="25" t="inlineStr">
        <is>
          <t>2010-12</t>
        </is>
      </c>
      <c r="B14" s="26" t="n">
        <v>40468.33</v>
      </c>
      <c r="C14" s="26" t="n">
        <v>844123.5600000001</v>
      </c>
    </row>
    <row r="15">
      <c r="A15" s="27" t="inlineStr">
        <is>
          <t>2011-01</t>
        </is>
      </c>
      <c r="B15" s="28" t="n">
        <v>50992.14</v>
      </c>
      <c r="C15" s="28" t="n">
        <v>518452.9</v>
      </c>
    </row>
    <row r="16">
      <c r="A16" s="25" t="inlineStr">
        <is>
          <t>2011-02</t>
        </is>
      </c>
      <c r="B16" s="26" t="n">
        <v>43911.41</v>
      </c>
      <c r="C16" s="26" t="n">
        <v>403225.94</v>
      </c>
    </row>
    <row r="17">
      <c r="A17" s="27" t="inlineStr">
        <is>
          <t>2011-03</t>
        </is>
      </c>
      <c r="B17" s="28" t="n">
        <v>78195.61</v>
      </c>
      <c r="C17" s="28" t="n">
        <v>517305.15</v>
      </c>
    </row>
    <row r="18">
      <c r="A18" s="25" t="inlineStr">
        <is>
          <t>2011-04</t>
        </is>
      </c>
      <c r="B18" s="26" t="n">
        <v>41160.58</v>
      </c>
      <c r="C18" s="26" t="n">
        <v>428039.781</v>
      </c>
    </row>
    <row r="19">
      <c r="A19" s="27" t="inlineStr">
        <is>
          <t>2011-05</t>
        </is>
      </c>
      <c r="B19" s="28" t="n">
        <v>52513.14</v>
      </c>
      <c r="C19" s="28" t="n">
        <v>626081.42</v>
      </c>
    </row>
    <row r="20">
      <c r="A20" s="25" t="inlineStr">
        <is>
          <t>2011-06</t>
        </is>
      </c>
      <c r="B20" s="26" t="n">
        <v>84310.64</v>
      </c>
      <c r="C20" s="26" t="n">
        <v>576903.05</v>
      </c>
    </row>
    <row r="21">
      <c r="A21" s="27" t="inlineStr">
        <is>
          <t>2011-07</t>
        </is>
      </c>
      <c r="B21" s="28" t="n">
        <v>43978.361</v>
      </c>
      <c r="C21" s="28" t="n">
        <v>556112.65</v>
      </c>
    </row>
    <row r="22">
      <c r="A22" s="25" t="inlineStr">
        <is>
          <t>2011-08</t>
        </is>
      </c>
      <c r="B22" s="26" t="n">
        <v>45060.08</v>
      </c>
      <c r="C22" s="26" t="n">
        <v>600283.8199999999</v>
      </c>
    </row>
    <row r="23">
      <c r="A23" s="27" t="inlineStr">
        <is>
          <t>2011-09</t>
        </is>
      </c>
      <c r="B23" s="28" t="n">
        <v>96518.24000000001</v>
      </c>
      <c r="C23" s="28" t="n">
        <v>856320.142</v>
      </c>
    </row>
    <row r="24">
      <c r="A24" s="25" t="inlineStr">
        <is>
          <t>2011-10</t>
        </is>
      </c>
      <c r="B24" s="26" t="n">
        <v>108727.69</v>
      </c>
      <c r="C24" s="26" t="n">
        <v>930591.1</v>
      </c>
    </row>
    <row r="25">
      <c r="A25" s="27" t="inlineStr">
        <is>
          <t>2011-11</t>
        </is>
      </c>
      <c r="B25" s="28" t="n">
        <v>81260.19</v>
      </c>
      <c r="C25" s="28" t="n">
        <v>1080557.19</v>
      </c>
    </row>
    <row r="26">
      <c r="A26" s="25" t="inlineStr">
        <is>
          <t>2011-12</t>
        </is>
      </c>
      <c r="B26" s="26" t="n">
        <v>23844.09</v>
      </c>
      <c r="C26" s="26" t="n">
        <v>494366.7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8" customWidth="1" min="4" max="4"/>
    <col width="20" customWidth="1" min="5" max="5"/>
  </cols>
  <sheetData>
    <row r="1">
      <c r="A1" s="24" t="inlineStr">
        <is>
          <t>Segment</t>
        </is>
      </c>
      <c r="B1" s="24" t="inlineStr">
        <is>
          <t>Customers</t>
        </is>
      </c>
      <c r="C1" s="24" t="inlineStr">
        <is>
          <t>Revenue</t>
        </is>
      </c>
      <c r="D1" s="24" t="inlineStr">
        <is>
          <t>Avg Recency (days)</t>
        </is>
      </c>
      <c r="E1" s="24" t="inlineStr">
        <is>
          <t>Avg Frequency (orders)</t>
        </is>
      </c>
    </row>
    <row r="2">
      <c r="A2" s="25" t="inlineStr">
        <is>
          <t>Champions</t>
        </is>
      </c>
      <c r="B2" s="25" t="n">
        <v>661</v>
      </c>
      <c r="C2" s="26" t="n">
        <v>9629444.414000001</v>
      </c>
      <c r="D2" s="25" t="n">
        <v>10</v>
      </c>
      <c r="E2" s="25" t="n">
        <v>24.4</v>
      </c>
    </row>
    <row r="3">
      <c r="A3" s="27" t="inlineStr">
        <is>
          <t>Loyal Customers</t>
        </is>
      </c>
      <c r="B3" s="27" t="n">
        <v>1398</v>
      </c>
      <c r="C3" s="28" t="n">
        <v>3987023.135</v>
      </c>
      <c r="D3" s="27" t="n">
        <v>39</v>
      </c>
      <c r="E3" s="27" t="n">
        <v>7.5</v>
      </c>
    </row>
    <row r="4">
      <c r="A4" s="25" t="inlineStr">
        <is>
          <t>At Risk</t>
        </is>
      </c>
      <c r="B4" s="25" t="n">
        <v>880</v>
      </c>
      <c r="C4" s="26" t="n">
        <v>2221679.294</v>
      </c>
      <c r="D4" s="25" t="n">
        <v>277</v>
      </c>
      <c r="E4" s="25" t="n">
        <v>6.5</v>
      </c>
    </row>
    <row r="5">
      <c r="A5" s="27" t="inlineStr">
        <is>
          <t>Potential Loyalist</t>
        </is>
      </c>
      <c r="B5" s="27" t="n">
        <v>828</v>
      </c>
      <c r="C5" s="28" t="n">
        <v>944472.004</v>
      </c>
      <c r="D5" s="27" t="n">
        <v>157</v>
      </c>
      <c r="E5" s="27" t="n">
        <v>1.8</v>
      </c>
    </row>
    <row r="6">
      <c r="A6" s="25" t="inlineStr">
        <is>
          <t>Lost</t>
        </is>
      </c>
      <c r="B6" s="25" t="n">
        <v>1775</v>
      </c>
      <c r="C6" s="26" t="n">
        <v>576685.951</v>
      </c>
      <c r="D6" s="25" t="n">
        <v>419</v>
      </c>
      <c r="E6" s="25" t="n">
        <v>1.4</v>
      </c>
    </row>
    <row r="7">
      <c r="A7" s="27" t="inlineStr">
        <is>
          <t>New Customers</t>
        </is>
      </c>
      <c r="B7" s="27" t="n">
        <v>336</v>
      </c>
      <c r="C7" s="28" t="n">
        <v>384124.38</v>
      </c>
      <c r="D7" s="27" t="n">
        <v>14</v>
      </c>
      <c r="E7" s="27" t="n">
        <v>1.9</v>
      </c>
    </row>
    <row r="10">
      <c r="A10" s="29" t="inlineStr">
        <is>
          <t>Segment definitions</t>
        </is>
      </c>
    </row>
    <row r="11">
      <c r="A11" s="30" t="inlineStr">
        <is>
          <t>Champions — bought recently, buy often, spend the most.</t>
        </is>
      </c>
    </row>
    <row r="12">
      <c r="A12" s="30" t="inlineStr">
        <is>
          <t>Loyal Customers — buy regularly with good recency and frequency.</t>
        </is>
      </c>
    </row>
    <row r="13">
      <c r="A13" s="30" t="inlineStr">
        <is>
          <t>Potential Loyalist — recent customers with moderate frequency; room to grow.</t>
        </is>
      </c>
    </row>
    <row r="14">
      <c r="A14" s="30" t="inlineStr">
        <is>
          <t>New Customers — very recent first-time buyers, frequency still low.</t>
        </is>
      </c>
    </row>
    <row r="15">
      <c r="A15" s="30" t="inlineStr">
        <is>
          <t>At Risk — used to buy frequently but haven't purchased recently.</t>
        </is>
      </c>
    </row>
    <row r="16">
      <c r="A16" s="30" t="inlineStr">
        <is>
          <t>Lost — low recency, frequency, and spend across the board.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31" t="inlineStr">
        <is>
          <t>Day / Hour</t>
        </is>
      </c>
      <c r="B1" s="24" t="inlineStr">
        <is>
          <t>6:00</t>
        </is>
      </c>
      <c r="C1" s="24" t="inlineStr">
        <is>
          <t>7:00</t>
        </is>
      </c>
      <c r="D1" s="24" t="inlineStr">
        <is>
          <t>8:00</t>
        </is>
      </c>
      <c r="E1" s="24" t="inlineStr">
        <is>
          <t>9:00</t>
        </is>
      </c>
      <c r="F1" s="24" t="inlineStr">
        <is>
          <t>10:00</t>
        </is>
      </c>
      <c r="G1" s="24" t="inlineStr">
        <is>
          <t>11:00</t>
        </is>
      </c>
      <c r="H1" s="24" t="inlineStr">
        <is>
          <t>12:00</t>
        </is>
      </c>
      <c r="I1" s="24" t="inlineStr">
        <is>
          <t>13:00</t>
        </is>
      </c>
      <c r="J1" s="24" t="inlineStr">
        <is>
          <t>14:00</t>
        </is>
      </c>
      <c r="K1" s="24" t="inlineStr">
        <is>
          <t>15:00</t>
        </is>
      </c>
      <c r="L1" s="24" t="inlineStr">
        <is>
          <t>16:00</t>
        </is>
      </c>
      <c r="M1" s="24" t="inlineStr">
        <is>
          <t>17:00</t>
        </is>
      </c>
      <c r="N1" s="24" t="inlineStr">
        <is>
          <t>18:00</t>
        </is>
      </c>
      <c r="O1" s="24" t="inlineStr">
        <is>
          <t>19:00</t>
        </is>
      </c>
      <c r="P1" s="24" t="inlineStr">
        <is>
          <t>20:00</t>
        </is>
      </c>
    </row>
    <row r="2">
      <c r="A2" s="32" t="inlineStr">
        <is>
          <t>Monday</t>
        </is>
      </c>
      <c r="B2" s="33" t="n">
        <v>0</v>
      </c>
      <c r="C2" s="33" t="n">
        <v>15880.42</v>
      </c>
      <c r="D2" s="33" t="n">
        <v>91876.36</v>
      </c>
      <c r="E2" s="33" t="n">
        <v>327820.9</v>
      </c>
      <c r="F2" s="33" t="n">
        <v>433143.961</v>
      </c>
      <c r="G2" s="33" t="n">
        <v>399242.132</v>
      </c>
      <c r="H2" s="33" t="n">
        <v>445842.1</v>
      </c>
      <c r="I2" s="33" t="n">
        <v>491888.78</v>
      </c>
      <c r="J2" s="33" t="n">
        <v>390143.3</v>
      </c>
      <c r="K2" s="33" t="n">
        <v>357006.551</v>
      </c>
      <c r="L2" s="33" t="n">
        <v>422278.751</v>
      </c>
      <c r="M2" s="33" t="n">
        <v>246369.571</v>
      </c>
      <c r="N2" s="33" t="n">
        <v>23263.76</v>
      </c>
      <c r="O2" s="33" t="n">
        <v>0</v>
      </c>
      <c r="P2" s="33" t="n">
        <v>0</v>
      </c>
    </row>
    <row r="3">
      <c r="A3" s="32" t="inlineStr">
        <is>
          <t>Tuesday</t>
        </is>
      </c>
      <c r="B3" s="33" t="n">
        <v>0</v>
      </c>
      <c r="C3" s="33" t="n">
        <v>11532.26</v>
      </c>
      <c r="D3" s="33" t="n">
        <v>117821.12</v>
      </c>
      <c r="E3" s="33" t="n">
        <v>355689.26</v>
      </c>
      <c r="F3" s="33" t="n">
        <v>549367.651</v>
      </c>
      <c r="G3" s="33" t="n">
        <v>549682.65</v>
      </c>
      <c r="H3" s="33" t="n">
        <v>509953.72</v>
      </c>
      <c r="I3" s="33" t="n">
        <v>501996.27</v>
      </c>
      <c r="J3" s="33" t="n">
        <v>409190.65</v>
      </c>
      <c r="K3" s="33" t="n">
        <v>597748.6899999999</v>
      </c>
      <c r="L3" s="33" t="n">
        <v>355438.32</v>
      </c>
      <c r="M3" s="33" t="n">
        <v>154897.691</v>
      </c>
      <c r="N3" s="33" t="n">
        <v>56869.06</v>
      </c>
      <c r="O3" s="33" t="n">
        <v>14707.77</v>
      </c>
      <c r="P3" s="33" t="n">
        <v>967.8</v>
      </c>
    </row>
    <row r="4">
      <c r="A4" s="32" t="inlineStr">
        <is>
          <t>Wednesday</t>
        </is>
      </c>
      <c r="B4" s="33" t="n">
        <v>0</v>
      </c>
      <c r="C4" s="33" t="n">
        <v>10130.76</v>
      </c>
      <c r="D4" s="33" t="n">
        <v>90849.22</v>
      </c>
      <c r="E4" s="33" t="n">
        <v>305189.21</v>
      </c>
      <c r="F4" s="33" t="n">
        <v>494863.6</v>
      </c>
      <c r="G4" s="33" t="n">
        <v>439008.051</v>
      </c>
      <c r="H4" s="33" t="n">
        <v>582565.35</v>
      </c>
      <c r="I4" s="33" t="n">
        <v>457286.441</v>
      </c>
      <c r="J4" s="33" t="n">
        <v>432223.01</v>
      </c>
      <c r="K4" s="33" t="n">
        <v>385321.101</v>
      </c>
      <c r="L4" s="33" t="n">
        <v>254740.97</v>
      </c>
      <c r="M4" s="33" t="n">
        <v>132282.86</v>
      </c>
      <c r="N4" s="33" t="n">
        <v>1244.9</v>
      </c>
      <c r="O4" s="33" t="n">
        <v>3053.4</v>
      </c>
      <c r="P4" s="33" t="n">
        <v>13031.5</v>
      </c>
    </row>
    <row r="5">
      <c r="A5" s="32" t="inlineStr">
        <is>
          <t>Thursday</t>
        </is>
      </c>
      <c r="B5" s="33" t="n">
        <v>4.25</v>
      </c>
      <c r="C5" s="33" t="n">
        <v>16494.41</v>
      </c>
      <c r="D5" s="33" t="n">
        <v>123183.27</v>
      </c>
      <c r="E5" s="33" t="n">
        <v>333534.66</v>
      </c>
      <c r="F5" s="33" t="n">
        <v>521513.181</v>
      </c>
      <c r="G5" s="33" t="n">
        <v>433318.04</v>
      </c>
      <c r="H5" s="33" t="n">
        <v>558988.13</v>
      </c>
      <c r="I5" s="33" t="n">
        <v>417552.031</v>
      </c>
      <c r="J5" s="33" t="n">
        <v>479461.07</v>
      </c>
      <c r="K5" s="33" t="n">
        <v>516595.96</v>
      </c>
      <c r="L5" s="33" t="n">
        <v>353719.6</v>
      </c>
      <c r="M5" s="33" t="n">
        <v>231090.19</v>
      </c>
      <c r="N5" s="33" t="n">
        <v>184246.64</v>
      </c>
      <c r="O5" s="33" t="n">
        <v>110856.38</v>
      </c>
      <c r="P5" s="33" t="n">
        <v>25834.36</v>
      </c>
    </row>
    <row r="6">
      <c r="A6" s="32" t="inlineStr">
        <is>
          <t>Friday</t>
        </is>
      </c>
      <c r="B6" s="33" t="n">
        <v>0</v>
      </c>
      <c r="C6" s="33" t="n">
        <v>22194.72</v>
      </c>
      <c r="D6" s="33" t="n">
        <v>108720.71</v>
      </c>
      <c r="E6" s="33" t="n">
        <v>477107.861</v>
      </c>
      <c r="F6" s="33" t="n">
        <v>452088.86</v>
      </c>
      <c r="G6" s="33" t="n">
        <v>432976.77</v>
      </c>
      <c r="H6" s="33" t="n">
        <v>453827.47</v>
      </c>
      <c r="I6" s="33" t="n">
        <v>373063.632</v>
      </c>
      <c r="J6" s="33" t="n">
        <v>424027.26</v>
      </c>
      <c r="K6" s="33" t="n">
        <v>332239.37</v>
      </c>
      <c r="L6" s="33" t="n">
        <v>169622.37</v>
      </c>
      <c r="M6" s="33" t="n">
        <v>114199.93</v>
      </c>
      <c r="N6" s="33" t="n">
        <v>16514.63</v>
      </c>
      <c r="O6" s="33" t="n">
        <v>373.46</v>
      </c>
      <c r="P6" s="33" t="n">
        <v>22.14</v>
      </c>
    </row>
    <row r="7">
      <c r="A7" s="32" t="inlineStr">
        <is>
          <t>Saturday</t>
        </is>
      </c>
      <c r="B7" s="33" t="n">
        <v>0</v>
      </c>
      <c r="C7" s="33" t="n">
        <v>0</v>
      </c>
      <c r="D7" s="33" t="n">
        <v>0</v>
      </c>
      <c r="E7" s="33" t="n">
        <v>0</v>
      </c>
      <c r="F7" s="33" t="n">
        <v>1059.74</v>
      </c>
      <c r="G7" s="33" t="n">
        <v>230.2</v>
      </c>
      <c r="H7" s="33" t="n">
        <v>2110.65</v>
      </c>
      <c r="I7" s="33" t="n">
        <v>2520.49</v>
      </c>
      <c r="J7" s="33" t="n">
        <v>1130.93</v>
      </c>
      <c r="K7" s="33" t="n">
        <v>1599.74</v>
      </c>
      <c r="L7" s="33" t="n">
        <v>1151.3</v>
      </c>
      <c r="M7" s="33" t="n">
        <v>0</v>
      </c>
      <c r="N7" s="33" t="n">
        <v>0</v>
      </c>
      <c r="O7" s="33" t="n">
        <v>0</v>
      </c>
      <c r="P7" s="33" t="n">
        <v>0</v>
      </c>
    </row>
    <row r="8">
      <c r="A8" s="32" t="inlineStr">
        <is>
          <t>Sunday</t>
        </is>
      </c>
      <c r="B8" s="33" t="n">
        <v>0</v>
      </c>
      <c r="C8" s="33" t="n">
        <v>0</v>
      </c>
      <c r="D8" s="33" t="n">
        <v>0</v>
      </c>
      <c r="E8" s="33" t="n">
        <v>2853.12</v>
      </c>
      <c r="F8" s="33" t="n">
        <v>177234.81</v>
      </c>
      <c r="G8" s="33" t="n">
        <v>330063.61</v>
      </c>
      <c r="H8" s="33" t="n">
        <v>356937.931</v>
      </c>
      <c r="I8" s="33" t="n">
        <v>358262.61</v>
      </c>
      <c r="J8" s="33" t="n">
        <v>249419.251</v>
      </c>
      <c r="K8" s="33" t="n">
        <v>287693.07</v>
      </c>
      <c r="L8" s="33" t="n">
        <v>84174.00999999999</v>
      </c>
      <c r="M8" s="33" t="n">
        <v>371.88</v>
      </c>
      <c r="N8" s="33" t="n">
        <v>0</v>
      </c>
      <c r="O8" s="33" t="n">
        <v>0</v>
      </c>
      <c r="P8" s="33" t="n">
        <v>0</v>
      </c>
    </row>
  </sheetData>
  <conditionalFormatting sqref="B2:P8">
    <cfRule type="colorScale" priority="1">
      <colorScale>
        <cfvo type="min"/>
        <cfvo type="percentile" val="50"/>
        <cfvo type="max"/>
        <color rgb="00FFFFFF"/>
        <color rgb="005EEAD4"/>
        <color rgb="00134E4A"/>
      </colorScale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0" customWidth="1" min="5" max="5"/>
  </cols>
  <sheetData>
    <row r="1">
      <c r="A1" s="24" t="inlineStr">
        <is>
          <t>Stock Code</t>
        </is>
      </c>
      <c r="B1" s="24" t="inlineStr">
        <is>
          <t>Description</t>
        </is>
      </c>
      <c r="C1" s="24" t="inlineStr">
        <is>
          <t>Revenue</t>
        </is>
      </c>
      <c r="D1" s="24" t="inlineStr">
        <is>
          <t>Quantity Sold</t>
        </is>
      </c>
      <c r="E1" s="24" t="inlineStr">
        <is>
          <t>Orders</t>
        </is>
      </c>
    </row>
    <row r="2">
      <c r="A2" s="25" t="inlineStr">
        <is>
          <t>22423</t>
        </is>
      </c>
      <c r="B2" s="25" t="inlineStr">
        <is>
          <t>REGENCY CAKESTAND 3 TIER</t>
        </is>
      </c>
      <c r="C2" s="26" t="n">
        <v>344563.25</v>
      </c>
      <c r="D2" s="25" t="n">
        <v>27577</v>
      </c>
      <c r="E2" s="25" t="n">
        <v>3918</v>
      </c>
    </row>
    <row r="3">
      <c r="A3" s="27" t="inlineStr">
        <is>
          <t>85123A</t>
        </is>
      </c>
      <c r="B3" s="27" t="inlineStr">
        <is>
          <t>WHITE HANGING HEART T-LIGHT HOLDER</t>
        </is>
      </c>
      <c r="C3" s="28" t="n">
        <v>262931.16</v>
      </c>
      <c r="D3" s="27" t="n">
        <v>96086</v>
      </c>
      <c r="E3" s="27" t="n">
        <v>5356</v>
      </c>
    </row>
    <row r="4">
      <c r="A4" s="25" t="inlineStr">
        <is>
          <t>23843</t>
        </is>
      </c>
      <c r="B4" s="25" t="inlineStr">
        <is>
          <t>PAPER CRAFT , LITTLE BIRDIE</t>
        </is>
      </c>
      <c r="C4" s="26" t="n">
        <v>168469.6</v>
      </c>
      <c r="D4" s="25" t="n">
        <v>80995</v>
      </c>
      <c r="E4" s="25" t="n">
        <v>1</v>
      </c>
    </row>
    <row r="5">
      <c r="A5" s="27" t="inlineStr">
        <is>
          <t>47566</t>
        </is>
      </c>
      <c r="B5" s="27" t="inlineStr">
        <is>
          <t>PARTY BUNTING</t>
        </is>
      </c>
      <c r="C5" s="28" t="n">
        <v>149187.05</v>
      </c>
      <c r="D5" s="27" t="n">
        <v>28378</v>
      </c>
      <c r="E5" s="27" t="n">
        <v>2674</v>
      </c>
    </row>
    <row r="6">
      <c r="A6" s="25" t="inlineStr">
        <is>
          <t>85099B</t>
        </is>
      </c>
      <c r="B6" s="25" t="inlineStr">
        <is>
          <t>JUMBO BAG RED RETROSPOT</t>
        </is>
      </c>
      <c r="C6" s="26" t="n">
        <v>148823.92</v>
      </c>
      <c r="D6" s="25" t="n">
        <v>78860</v>
      </c>
      <c r="E6" s="25" t="n">
        <v>3245</v>
      </c>
    </row>
    <row r="7">
      <c r="A7" s="27" t="inlineStr">
        <is>
          <t>84879</t>
        </is>
      </c>
      <c r="B7" s="27" t="inlineStr">
        <is>
          <t>ASSORTED COLOUR BIRD ORNAMENT</t>
        </is>
      </c>
      <c r="C7" s="28" t="n">
        <v>132187.92</v>
      </c>
      <c r="D7" s="27" t="n">
        <v>81809</v>
      </c>
      <c r="E7" s="27" t="n">
        <v>2807</v>
      </c>
    </row>
    <row r="8">
      <c r="A8" s="25" t="inlineStr">
        <is>
          <t>22086</t>
        </is>
      </c>
      <c r="B8" s="25" t="inlineStr">
        <is>
          <t>PAPER CHAIN KIT 50'S CHRISTMAS</t>
        </is>
      </c>
      <c r="C8" s="26" t="n">
        <v>123141.54</v>
      </c>
      <c r="D8" s="25" t="n">
        <v>36581</v>
      </c>
      <c r="E8" s="25" t="n">
        <v>2018</v>
      </c>
    </row>
    <row r="9">
      <c r="A9" s="27" t="inlineStr">
        <is>
          <t>79321</t>
        </is>
      </c>
      <c r="B9" s="27" t="inlineStr">
        <is>
          <t>CHILLI LIGHTS</t>
        </is>
      </c>
      <c r="C9" s="28" t="n">
        <v>85489.91</v>
      </c>
      <c r="D9" s="27" t="n">
        <v>16840</v>
      </c>
      <c r="E9" s="27" t="n">
        <v>1135</v>
      </c>
    </row>
    <row r="10">
      <c r="A10" s="25" t="inlineStr">
        <is>
          <t>23166</t>
        </is>
      </c>
      <c r="B10" s="25" t="inlineStr">
        <is>
          <t>MEDIUM CERAMIC TOP STORAGE JAR</t>
        </is>
      </c>
      <c r="C10" s="26" t="n">
        <v>81700.92000000001</v>
      </c>
      <c r="D10" s="25" t="n">
        <v>78033</v>
      </c>
      <c r="E10" s="25" t="n">
        <v>247</v>
      </c>
    </row>
    <row r="11">
      <c r="A11" s="27" t="inlineStr">
        <is>
          <t>84347</t>
        </is>
      </c>
      <c r="B11" s="27" t="inlineStr">
        <is>
          <t>ROTATING SILVER ANGELS T-LIGHT HLDR</t>
        </is>
      </c>
      <c r="C11" s="28" t="n">
        <v>74448.92</v>
      </c>
      <c r="D11" s="27" t="n">
        <v>32525</v>
      </c>
      <c r="E11" s="27" t="n">
        <v>756</v>
      </c>
    </row>
    <row r="12">
      <c r="A12" s="25" t="inlineStr">
        <is>
          <t>21137</t>
        </is>
      </c>
      <c r="B12" s="25" t="inlineStr">
        <is>
          <t>BLACK RECORD COVER FRAME</t>
        </is>
      </c>
      <c r="C12" s="26" t="n">
        <v>69329.47</v>
      </c>
      <c r="D12" s="25" t="n">
        <v>19954</v>
      </c>
      <c r="E12" s="25" t="n">
        <v>634</v>
      </c>
    </row>
    <row r="13">
      <c r="A13" s="27" t="inlineStr">
        <is>
          <t>85099F</t>
        </is>
      </c>
      <c r="B13" s="27" t="inlineStr">
        <is>
          <t>JUMBO BAG STRAWBERRY</t>
        </is>
      </c>
      <c r="C13" s="28" t="n">
        <v>68488.81</v>
      </c>
      <c r="D13" s="27" t="n">
        <v>37124</v>
      </c>
      <c r="E13" s="27" t="n">
        <v>1830</v>
      </c>
    </row>
    <row r="14">
      <c r="A14" s="25" t="inlineStr">
        <is>
          <t>23084</t>
        </is>
      </c>
      <c r="B14" s="25" t="inlineStr">
        <is>
          <t>RABBIT NIGHT LIGHT</t>
        </is>
      </c>
      <c r="C14" s="26" t="n">
        <v>66964.99000000001</v>
      </c>
      <c r="D14" s="25" t="n">
        <v>30788</v>
      </c>
      <c r="E14" s="25" t="n">
        <v>994</v>
      </c>
    </row>
    <row r="15">
      <c r="A15" s="27" t="inlineStr">
        <is>
          <t>22114</t>
        </is>
      </c>
      <c r="B15" s="27" t="inlineStr">
        <is>
          <t>HOT WATER BOTTLE TEA AND SYMPATHY</t>
        </is>
      </c>
      <c r="C15" s="28" t="n">
        <v>63517.75</v>
      </c>
      <c r="D15" s="27" t="n">
        <v>12462</v>
      </c>
      <c r="E15" s="27" t="n">
        <v>1583</v>
      </c>
    </row>
    <row r="16">
      <c r="A16" s="25" t="inlineStr">
        <is>
          <t>82484</t>
        </is>
      </c>
      <c r="B16" s="25" t="inlineStr">
        <is>
          <t>WOOD BLACK BOARD ANT WHITE FINISH</t>
        </is>
      </c>
      <c r="C16" s="26" t="n">
        <v>62842.02</v>
      </c>
      <c r="D16" s="25" t="n">
        <v>11054</v>
      </c>
      <c r="E16" s="25" t="n">
        <v>1176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4" t="inlineStr">
        <is>
          <t>Country</t>
        </is>
      </c>
      <c r="B1" s="24" t="inlineStr">
        <is>
          <t>Revenue</t>
        </is>
      </c>
      <c r="C1" s="24" t="inlineStr">
        <is>
          <t>Orders</t>
        </is>
      </c>
      <c r="D1" s="24" t="inlineStr">
        <is>
          <t>Customers</t>
        </is>
      </c>
      <c r="E1" s="24" t="inlineStr">
        <is>
          <t>Quantity</t>
        </is>
      </c>
    </row>
    <row r="2">
      <c r="A2" s="25" t="inlineStr">
        <is>
          <t>United Kingdom</t>
        </is>
      </c>
      <c r="B2" s="26" t="n">
        <v>17870977.777</v>
      </c>
      <c r="C2" s="25" t="n">
        <v>36535</v>
      </c>
      <c r="D2" s="25" t="n">
        <v>5350</v>
      </c>
      <c r="E2" s="25" t="n">
        <v>9383244</v>
      </c>
    </row>
    <row r="3">
      <c r="A3" s="27" t="inlineStr">
        <is>
          <t>EIRE</t>
        </is>
      </c>
      <c r="B3" s="28" t="n">
        <v>664431.78</v>
      </c>
      <c r="C3" s="27" t="n">
        <v>626</v>
      </c>
      <c r="D3" s="27" t="n">
        <v>5</v>
      </c>
      <c r="E3" s="27" t="n">
        <v>340289</v>
      </c>
    </row>
    <row r="4">
      <c r="A4" s="25" t="inlineStr">
        <is>
          <t>Netherlands</t>
        </is>
      </c>
      <c r="B4" s="26" t="n">
        <v>554232.34</v>
      </c>
      <c r="C4" s="25" t="n">
        <v>228</v>
      </c>
      <c r="D4" s="25" t="n">
        <v>22</v>
      </c>
      <c r="E4" s="25" t="n">
        <v>383977</v>
      </c>
    </row>
    <row r="5">
      <c r="A5" s="27" t="inlineStr">
        <is>
          <t>Germany</t>
        </is>
      </c>
      <c r="B5" s="28" t="n">
        <v>431262.461</v>
      </c>
      <c r="C5" s="27" t="n">
        <v>789</v>
      </c>
      <c r="D5" s="27" t="n">
        <v>107</v>
      </c>
      <c r="E5" s="27" t="n">
        <v>227983</v>
      </c>
    </row>
    <row r="6">
      <c r="A6" s="25" t="inlineStr">
        <is>
          <t>France</t>
        </is>
      </c>
      <c r="B6" s="26" t="n">
        <v>356944.6</v>
      </c>
      <c r="C6" s="25" t="n">
        <v>622</v>
      </c>
      <c r="D6" s="25" t="n">
        <v>95</v>
      </c>
      <c r="E6" s="25" t="n">
        <v>275287</v>
      </c>
    </row>
    <row r="7">
      <c r="A7" s="27" t="inlineStr">
        <is>
          <t>Australia</t>
        </is>
      </c>
      <c r="B7" s="28" t="n">
        <v>169968.11</v>
      </c>
      <c r="C7" s="27" t="n">
        <v>95</v>
      </c>
      <c r="D7" s="27" t="n">
        <v>15</v>
      </c>
      <c r="E7" s="27" t="n">
        <v>104090</v>
      </c>
    </row>
    <row r="8">
      <c r="A8" s="25" t="inlineStr">
        <is>
          <t>Spain</t>
        </is>
      </c>
      <c r="B8" s="26" t="n">
        <v>109178.53</v>
      </c>
      <c r="C8" s="25" t="n">
        <v>154</v>
      </c>
      <c r="D8" s="25" t="n">
        <v>41</v>
      </c>
      <c r="E8" s="25" t="n">
        <v>50796</v>
      </c>
    </row>
    <row r="9">
      <c r="A9" s="27" t="inlineStr">
        <is>
          <t>Switzerland</t>
        </is>
      </c>
      <c r="B9" s="28" t="n">
        <v>101011.29</v>
      </c>
      <c r="C9" s="27" t="n">
        <v>93</v>
      </c>
      <c r="D9" s="27" t="n">
        <v>22</v>
      </c>
      <c r="E9" s="27" t="n">
        <v>52884</v>
      </c>
    </row>
    <row r="10">
      <c r="A10" s="25" t="inlineStr">
        <is>
          <t>Sweden</t>
        </is>
      </c>
      <c r="B10" s="26" t="n">
        <v>91903.72</v>
      </c>
      <c r="C10" s="25" t="n">
        <v>105</v>
      </c>
      <c r="D10" s="25" t="n">
        <v>19</v>
      </c>
      <c r="E10" s="25" t="n">
        <v>88650</v>
      </c>
    </row>
    <row r="11">
      <c r="A11" s="27" t="inlineStr">
        <is>
          <t>Denmark</t>
        </is>
      </c>
      <c r="B11" s="28" t="n">
        <v>69862.19</v>
      </c>
      <c r="C11" s="27" t="n">
        <v>43</v>
      </c>
      <c r="D11" s="27" t="n">
        <v>12</v>
      </c>
      <c r="E11" s="27" t="n">
        <v>237925</v>
      </c>
    </row>
    <row r="12">
      <c r="A12" s="25" t="inlineStr">
        <is>
          <t>Belgium</t>
        </is>
      </c>
      <c r="B12" s="26" t="n">
        <v>65753.42</v>
      </c>
      <c r="C12" s="25" t="n">
        <v>149</v>
      </c>
      <c r="D12" s="25" t="n">
        <v>29</v>
      </c>
      <c r="E12" s="25" t="n">
        <v>35302</v>
      </c>
    </row>
    <row r="13">
      <c r="A13" s="27" t="inlineStr">
        <is>
          <t>Norway</t>
        </is>
      </c>
      <c r="B13" s="28" t="n">
        <v>60109.62</v>
      </c>
      <c r="C13" s="27" t="n">
        <v>45</v>
      </c>
      <c r="D13" s="27" t="n">
        <v>13</v>
      </c>
      <c r="E13" s="27" t="n">
        <v>27203</v>
      </c>
    </row>
    <row r="14">
      <c r="A14" s="25" t="inlineStr">
        <is>
          <t>Portugal</t>
        </is>
      </c>
      <c r="B14" s="26" t="n">
        <v>58016.65</v>
      </c>
      <c r="C14" s="25" t="n">
        <v>95</v>
      </c>
      <c r="D14" s="25" t="n">
        <v>24</v>
      </c>
      <c r="E14" s="25" t="n">
        <v>28409</v>
      </c>
    </row>
    <row r="15">
      <c r="A15" s="27" t="inlineStr">
        <is>
          <t>Japan</t>
        </is>
      </c>
      <c r="B15" s="28" t="n">
        <v>47138.39</v>
      </c>
      <c r="C15" s="27" t="n">
        <v>33</v>
      </c>
      <c r="D15" s="27" t="n">
        <v>10</v>
      </c>
      <c r="E15" s="27" t="n">
        <v>33327</v>
      </c>
    </row>
    <row r="16">
      <c r="A16" s="25" t="inlineStr">
        <is>
          <t>Channel Islands</t>
        </is>
      </c>
      <c r="B16" s="26" t="n">
        <v>44996.76</v>
      </c>
      <c r="C16" s="25" t="n">
        <v>55</v>
      </c>
      <c r="D16" s="25" t="n">
        <v>13</v>
      </c>
      <c r="E16" s="25" t="n">
        <v>21482</v>
      </c>
    </row>
    <row r="17">
      <c r="A17" s="27" t="inlineStr">
        <is>
          <t>Italy</t>
        </is>
      </c>
      <c r="B17" s="28" t="n">
        <v>32550.42</v>
      </c>
      <c r="C17" s="27" t="n">
        <v>65</v>
      </c>
      <c r="D17" s="27" t="n">
        <v>17</v>
      </c>
      <c r="E17" s="27" t="n">
        <v>15501</v>
      </c>
    </row>
    <row r="18">
      <c r="A18" s="25" t="inlineStr">
        <is>
          <t>Finland</t>
        </is>
      </c>
      <c r="B18" s="26" t="n">
        <v>29925.54</v>
      </c>
      <c r="C18" s="25" t="n">
        <v>57</v>
      </c>
      <c r="D18" s="25" t="n">
        <v>14</v>
      </c>
      <c r="E18" s="25" t="n">
        <v>14375</v>
      </c>
    </row>
    <row r="19">
      <c r="A19" s="27" t="inlineStr">
        <is>
          <t>Singapore</t>
        </is>
      </c>
      <c r="B19" s="28" t="n">
        <v>25317.06</v>
      </c>
      <c r="C19" s="27" t="n">
        <v>11</v>
      </c>
      <c r="D19" s="27" t="n">
        <v>1</v>
      </c>
      <c r="E19" s="27" t="n">
        <v>6994</v>
      </c>
    </row>
    <row r="20">
      <c r="A20" s="25" t="inlineStr">
        <is>
          <t>Cyprus</t>
        </is>
      </c>
      <c r="B20" s="26" t="n">
        <v>24980.13</v>
      </c>
      <c r="C20" s="25" t="n">
        <v>37</v>
      </c>
      <c r="D20" s="25" t="n">
        <v>11</v>
      </c>
      <c r="E20" s="25" t="n">
        <v>10986</v>
      </c>
    </row>
    <row r="21">
      <c r="A21" s="27" t="inlineStr">
        <is>
          <t>Hong Kong</t>
        </is>
      </c>
      <c r="B21" s="28" t="n">
        <v>23894.32</v>
      </c>
      <c r="C21" s="27" t="n">
        <v>15</v>
      </c>
      <c r="D21" s="27" t="n">
        <v>0</v>
      </c>
      <c r="E21" s="27" t="n">
        <v>7081</v>
      </c>
    </row>
    <row r="22">
      <c r="A22" s="25" t="inlineStr">
        <is>
          <t>Austria</t>
        </is>
      </c>
      <c r="B22" s="26" t="n">
        <v>23613.01</v>
      </c>
      <c r="C22" s="25" t="n">
        <v>45</v>
      </c>
      <c r="D22" s="25" t="n">
        <v>13</v>
      </c>
      <c r="E22" s="25" t="n">
        <v>11578</v>
      </c>
    </row>
    <row r="23">
      <c r="A23" s="27" t="inlineStr">
        <is>
          <t>Greece</t>
        </is>
      </c>
      <c r="B23" s="28" t="n">
        <v>19096.19</v>
      </c>
      <c r="C23" s="27" t="n">
        <v>18</v>
      </c>
      <c r="D23" s="27" t="n">
        <v>5</v>
      </c>
      <c r="E23" s="27" t="n">
        <v>7724</v>
      </c>
    </row>
    <row r="24">
      <c r="A24" s="25" t="inlineStr">
        <is>
          <t>Israel</t>
        </is>
      </c>
      <c r="B24" s="26" t="n">
        <v>11334.66</v>
      </c>
      <c r="C24" s="25" t="n">
        <v>10</v>
      </c>
      <c r="D24" s="25" t="n">
        <v>4</v>
      </c>
      <c r="E24" s="25" t="n">
        <v>5541</v>
      </c>
    </row>
    <row r="25">
      <c r="A25" s="27" t="inlineStr">
        <is>
          <t>United Arab Emirates</t>
        </is>
      </c>
      <c r="B25" s="28" t="n">
        <v>11097.63</v>
      </c>
      <c r="C25" s="27" t="n">
        <v>16</v>
      </c>
      <c r="D25" s="27" t="n">
        <v>4</v>
      </c>
      <c r="E25" s="27" t="n">
        <v>7321</v>
      </c>
    </row>
    <row r="26">
      <c r="A26" s="25" t="inlineStr">
        <is>
          <t>Unspecified</t>
        </is>
      </c>
      <c r="B26" s="26" t="n">
        <v>10936.01</v>
      </c>
      <c r="C26" s="25" t="n">
        <v>24</v>
      </c>
      <c r="D26" s="25" t="n">
        <v>6</v>
      </c>
      <c r="E26" s="25" t="n">
        <v>6734</v>
      </c>
    </row>
    <row r="27">
      <c r="A27" s="27" t="inlineStr">
        <is>
          <t>Poland</t>
        </is>
      </c>
      <c r="B27" s="28" t="n">
        <v>10902.45</v>
      </c>
      <c r="C27" s="27" t="n">
        <v>28</v>
      </c>
      <c r="D27" s="27" t="n">
        <v>6</v>
      </c>
      <c r="E27" s="27" t="n">
        <v>5828</v>
      </c>
    </row>
    <row r="28">
      <c r="A28" s="25" t="inlineStr">
        <is>
          <t>USA</t>
        </is>
      </c>
      <c r="B28" s="26" t="n">
        <v>8366.860000000001</v>
      </c>
      <c r="C28" s="25" t="n">
        <v>20</v>
      </c>
      <c r="D28" s="25" t="n">
        <v>9</v>
      </c>
      <c r="E28" s="25" t="n">
        <v>5264</v>
      </c>
    </row>
    <row r="29">
      <c r="A29" s="27" t="inlineStr">
        <is>
          <t>Malta</t>
        </is>
      </c>
      <c r="B29" s="28" t="n">
        <v>8099.09</v>
      </c>
      <c r="C29" s="27" t="n">
        <v>9</v>
      </c>
      <c r="D29" s="27" t="n">
        <v>2</v>
      </c>
      <c r="E29" s="27" t="n">
        <v>2519</v>
      </c>
    </row>
    <row r="30">
      <c r="A30" s="25" t="inlineStr">
        <is>
          <t>Lithuania</t>
        </is>
      </c>
      <c r="B30" s="26" t="n">
        <v>6553.74</v>
      </c>
      <c r="C30" s="25" t="n">
        <v>6</v>
      </c>
      <c r="D30" s="25" t="n">
        <v>1</v>
      </c>
      <c r="E30" s="25" t="n">
        <v>2958</v>
      </c>
    </row>
    <row r="31">
      <c r="A31" s="27" t="inlineStr">
        <is>
          <t>Iceland</t>
        </is>
      </c>
      <c r="B31" s="28" t="n">
        <v>5633.32</v>
      </c>
      <c r="C31" s="27" t="n">
        <v>8</v>
      </c>
      <c r="D31" s="27" t="n">
        <v>1</v>
      </c>
      <c r="E31" s="27" t="n">
        <v>3286</v>
      </c>
    </row>
    <row r="32">
      <c r="A32" s="25" t="inlineStr">
        <is>
          <t>Canada</t>
        </is>
      </c>
      <c r="B32" s="26" t="n">
        <v>4883.04</v>
      </c>
      <c r="C32" s="25" t="n">
        <v>8</v>
      </c>
      <c r="D32" s="25" t="n">
        <v>5</v>
      </c>
      <c r="E32" s="25" t="n">
        <v>3657</v>
      </c>
    </row>
    <row r="33">
      <c r="A33" s="27" t="inlineStr">
        <is>
          <t>RSA</t>
        </is>
      </c>
      <c r="B33" s="28" t="n">
        <v>4804.32</v>
      </c>
      <c r="C33" s="27" t="n">
        <v>4</v>
      </c>
      <c r="D33" s="27" t="n">
        <v>2</v>
      </c>
      <c r="E33" s="27" t="n">
        <v>1970</v>
      </c>
    </row>
    <row r="34">
      <c r="A34" s="25" t="inlineStr">
        <is>
          <t>Bahrain</t>
        </is>
      </c>
      <c r="B34" s="26" t="n">
        <v>3109.79</v>
      </c>
      <c r="C34" s="25" t="n">
        <v>10</v>
      </c>
      <c r="D34" s="25" t="n">
        <v>2</v>
      </c>
      <c r="E34" s="25" t="n">
        <v>1339</v>
      </c>
    </row>
    <row r="35">
      <c r="A35" s="27" t="inlineStr">
        <is>
          <t>Thailand</t>
        </is>
      </c>
      <c r="B35" s="28" t="n">
        <v>3070.54</v>
      </c>
      <c r="C35" s="27" t="n">
        <v>2</v>
      </c>
      <c r="D35" s="27" t="n">
        <v>1</v>
      </c>
      <c r="E35" s="27" t="n">
        <v>2552</v>
      </c>
    </row>
    <row r="36">
      <c r="A36" s="25" t="inlineStr">
        <is>
          <t>Lebanon</t>
        </is>
      </c>
      <c r="B36" s="26" t="n">
        <v>1905.58</v>
      </c>
      <c r="C36" s="25" t="n">
        <v>2</v>
      </c>
      <c r="D36" s="25" t="n">
        <v>1</v>
      </c>
      <c r="E36" s="25" t="n">
        <v>458</v>
      </c>
    </row>
    <row r="37">
      <c r="A37" s="27" t="inlineStr">
        <is>
          <t>Brazil</t>
        </is>
      </c>
      <c r="B37" s="28" t="n">
        <v>1411.87</v>
      </c>
      <c r="C37" s="27" t="n">
        <v>2</v>
      </c>
      <c r="D37" s="27" t="n">
        <v>2</v>
      </c>
      <c r="E37" s="27" t="n">
        <v>545</v>
      </c>
    </row>
    <row r="38">
      <c r="A38" s="25" t="inlineStr">
        <is>
          <t>European Community</t>
        </is>
      </c>
      <c r="B38" s="26" t="n">
        <v>1300.25</v>
      </c>
      <c r="C38" s="25" t="n">
        <v>4</v>
      </c>
      <c r="D38" s="25" t="n">
        <v>1</v>
      </c>
      <c r="E38" s="25" t="n">
        <v>499</v>
      </c>
    </row>
    <row r="39">
      <c r="A39" s="27" t="inlineStr">
        <is>
          <t>Bermuda</t>
        </is>
      </c>
      <c r="B39" s="28" t="n">
        <v>1253.14</v>
      </c>
      <c r="C39" s="27" t="n">
        <v>1</v>
      </c>
      <c r="D39" s="27" t="n">
        <v>0</v>
      </c>
      <c r="E39" s="27" t="n">
        <v>2798</v>
      </c>
    </row>
    <row r="40">
      <c r="A40" s="25" t="inlineStr">
        <is>
          <t>Korea</t>
        </is>
      </c>
      <c r="B40" s="26" t="n">
        <v>1118.51</v>
      </c>
      <c r="C40" s="25" t="n">
        <v>2</v>
      </c>
      <c r="D40" s="25" t="n">
        <v>2</v>
      </c>
      <c r="E40" s="25" t="n">
        <v>700</v>
      </c>
    </row>
    <row r="41">
      <c r="A41" s="27" t="inlineStr">
        <is>
          <t>Czech Republic</t>
        </is>
      </c>
      <c r="B41" s="28" t="n">
        <v>826.74</v>
      </c>
      <c r="C41" s="27" t="n">
        <v>2</v>
      </c>
      <c r="D41" s="27" t="n">
        <v>1</v>
      </c>
      <c r="E41" s="27" t="n">
        <v>671</v>
      </c>
    </row>
    <row r="42">
      <c r="A42" s="25" t="inlineStr">
        <is>
          <t>West Indies</t>
        </is>
      </c>
      <c r="B42" s="26" t="n">
        <v>536.41</v>
      </c>
      <c r="C42" s="25" t="n">
        <v>1</v>
      </c>
      <c r="D42" s="25" t="n">
        <v>1</v>
      </c>
      <c r="E42" s="25" t="n">
        <v>395</v>
      </c>
    </row>
    <row r="43">
      <c r="A43" s="27" t="inlineStr">
        <is>
          <t>Saudi Arabia</t>
        </is>
      </c>
      <c r="B43" s="28" t="n">
        <v>145.92</v>
      </c>
      <c r="C43" s="27" t="n">
        <v>1</v>
      </c>
      <c r="D43" s="27" t="n">
        <v>1</v>
      </c>
      <c r="E43" s="27" t="n">
        <v>80</v>
      </c>
    </row>
    <row r="44">
      <c r="A44" s="25" t="inlineStr">
        <is>
          <t>Nigeria</t>
        </is>
      </c>
      <c r="B44" s="26" t="n">
        <v>140.39</v>
      </c>
      <c r="C44" s="25" t="n">
        <v>2</v>
      </c>
      <c r="D44" s="25" t="n">
        <v>1</v>
      </c>
      <c r="E44" s="25" t="n">
        <v>103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4" t="inlineStr">
        <is>
          <t>Customer ID</t>
        </is>
      </c>
      <c r="B1" s="24" t="inlineStr">
        <is>
          <t>Revenue</t>
        </is>
      </c>
      <c r="C1" s="24" t="inlineStr">
        <is>
          <t>Orders</t>
        </is>
      </c>
      <c r="D1" s="24" t="inlineStr">
        <is>
          <t>Quantity</t>
        </is>
      </c>
    </row>
    <row r="2">
      <c r="A2" s="25" t="n">
        <v>18102</v>
      </c>
      <c r="B2" s="26" t="n">
        <v>608821.65</v>
      </c>
      <c r="C2" s="25" t="n">
        <v>145</v>
      </c>
      <c r="D2" s="25" t="n">
        <v>188340</v>
      </c>
    </row>
    <row r="3">
      <c r="A3" s="27" t="n">
        <v>14646</v>
      </c>
      <c r="B3" s="28" t="n">
        <v>528602.52</v>
      </c>
      <c r="C3" s="27" t="n">
        <v>151</v>
      </c>
      <c r="D3" s="27" t="n">
        <v>367193</v>
      </c>
    </row>
    <row r="4">
      <c r="A4" s="25" t="n">
        <v>14156</v>
      </c>
      <c r="B4" s="26" t="n">
        <v>313946.37</v>
      </c>
      <c r="C4" s="25" t="n">
        <v>156</v>
      </c>
      <c r="D4" s="25" t="n">
        <v>165992</v>
      </c>
    </row>
    <row r="5">
      <c r="A5" s="27" t="n">
        <v>14911</v>
      </c>
      <c r="B5" s="28" t="n">
        <v>295972.63</v>
      </c>
      <c r="C5" s="27" t="n">
        <v>398</v>
      </c>
      <c r="D5" s="27" t="n">
        <v>149987</v>
      </c>
    </row>
    <row r="6">
      <c r="A6" s="25" t="n">
        <v>17450</v>
      </c>
      <c r="B6" s="26" t="n">
        <v>246973.09</v>
      </c>
      <c r="C6" s="25" t="n">
        <v>51</v>
      </c>
      <c r="D6" s="25" t="n">
        <v>84720</v>
      </c>
    </row>
    <row r="7">
      <c r="A7" s="27" t="n">
        <v>13694</v>
      </c>
      <c r="B7" s="28" t="n">
        <v>196482.81</v>
      </c>
      <c r="C7" s="27" t="n">
        <v>143</v>
      </c>
      <c r="D7" s="27" t="n">
        <v>189205</v>
      </c>
    </row>
    <row r="8">
      <c r="A8" s="25" t="n">
        <v>17511</v>
      </c>
      <c r="B8" s="26" t="n">
        <v>175603.55</v>
      </c>
      <c r="C8" s="25" t="n">
        <v>60</v>
      </c>
      <c r="D8" s="25" t="n">
        <v>119656</v>
      </c>
    </row>
    <row r="9">
      <c r="A9" s="27" t="n">
        <v>16446</v>
      </c>
      <c r="B9" s="28" t="n">
        <v>168472.5</v>
      </c>
      <c r="C9" s="27" t="n">
        <v>2</v>
      </c>
      <c r="D9" s="27" t="n">
        <v>80997</v>
      </c>
    </row>
    <row r="10">
      <c r="A10" s="25" t="n">
        <v>16684</v>
      </c>
      <c r="B10" s="26" t="n">
        <v>147142.77</v>
      </c>
      <c r="C10" s="25" t="n">
        <v>55</v>
      </c>
      <c r="D10" s="25" t="n">
        <v>104810</v>
      </c>
    </row>
    <row r="11">
      <c r="A11" s="27" t="n">
        <v>12415</v>
      </c>
      <c r="B11" s="28" t="n">
        <v>144458.37</v>
      </c>
      <c r="C11" s="27" t="n">
        <v>28</v>
      </c>
      <c r="D11" s="27" t="n">
        <v>91447</v>
      </c>
    </row>
    <row r="12">
      <c r="A12" s="25" t="n">
        <v>15061</v>
      </c>
      <c r="B12" s="26" t="n">
        <v>137818.52</v>
      </c>
      <c r="C12" s="25" t="n">
        <v>127</v>
      </c>
      <c r="D12" s="25" t="n">
        <v>80711</v>
      </c>
    </row>
    <row r="13">
      <c r="A13" s="27" t="n">
        <v>16029</v>
      </c>
      <c r="B13" s="28" t="n">
        <v>122209.14</v>
      </c>
      <c r="C13" s="27" t="n">
        <v>107</v>
      </c>
      <c r="D13" s="27" t="n">
        <v>56486</v>
      </c>
    </row>
    <row r="14">
      <c r="A14" s="25" t="n">
        <v>17949</v>
      </c>
      <c r="B14" s="26" t="n">
        <v>118628.08</v>
      </c>
      <c r="C14" s="25" t="n">
        <v>118</v>
      </c>
      <c r="D14" s="25" t="n">
        <v>60658</v>
      </c>
    </row>
    <row r="15">
      <c r="A15" s="27" t="n">
        <v>15311</v>
      </c>
      <c r="B15" s="28" t="n">
        <v>116771.16</v>
      </c>
      <c r="C15" s="27" t="n">
        <v>208</v>
      </c>
      <c r="D15" s="27" t="n">
        <v>71010</v>
      </c>
    </row>
    <row r="16">
      <c r="A16" s="25" t="n">
        <v>13089</v>
      </c>
      <c r="B16" s="26" t="n">
        <v>116737.86</v>
      </c>
      <c r="C16" s="25" t="n">
        <v>203</v>
      </c>
      <c r="D16" s="25" t="n">
        <v>60229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4" t="inlineStr">
        <is>
          <t>Data Preparation &amp; Methodology Notes</t>
        </is>
      </c>
    </row>
    <row r="2">
      <c r="A2" s="30" t="inlineStr"/>
    </row>
    <row r="3">
      <c r="A3" s="30" t="inlineStr">
        <is>
          <t>Date range: 2009-12-01 to 2011-12-09.</t>
        </is>
      </c>
    </row>
    <row r="4">
      <c r="A4" s="30" t="inlineStr"/>
    </row>
    <row r="5">
      <c r="A5" s="30" t="inlineStr">
        <is>
          <t>Rows excluded from all revenue/order KPIs and charts:</t>
        </is>
      </c>
    </row>
    <row r="6">
      <c r="A6" s="30" t="inlineStr">
        <is>
          <t xml:space="preserve">  - Cancelled invoices (Invoice starting with "C") — 8,292 orders, -1,526,667.86 reversed revenue.</t>
        </is>
      </c>
    </row>
    <row r="7">
      <c r="A7" s="30" t="inlineStr">
        <is>
          <t xml:space="preserve">  - Line items with Quantity &lt;= 0 or Price &lt;= 0.</t>
        </is>
      </c>
    </row>
    <row r="8">
      <c r="A8" s="30" t="inlineStr"/>
    </row>
    <row r="9">
      <c r="A9" s="30" t="inlineStr">
        <is>
          <t>Top Products additionally excludes non-merchandise codes (postage, manual, discount, samples, fees).</t>
        </is>
      </c>
    </row>
    <row r="10">
      <c r="A10" s="30" t="inlineStr"/>
    </row>
    <row r="11">
      <c r="A11" s="30" t="inlineStr">
        <is>
          <t>New vs Returning: a customer is "New" in the month of their first purchase in this dataset, "Returning" after. Requires a non-null Customer ID.</t>
        </is>
      </c>
    </row>
    <row r="12">
      <c r="A12" s="30" t="inlineStr"/>
    </row>
    <row r="13">
      <c r="A13" s="30" t="inlineStr">
        <is>
          <t>RFM Segmentation: Recency = days since last purchase, Frequency = distinct orders, Monetary = total spend. Each split into quartiles (1-4, 4=best); segments assigned from combined scores.</t>
        </is>
      </c>
    </row>
    <row r="14">
      <c r="A14" s="30" t="inlineStr"/>
    </row>
    <row r="15">
      <c r="A15" s="30" t="inlineStr">
        <is>
          <t>Day-Hour Heatmap: revenue summed by weekday and hour of the invoice timestamp.</t>
        </is>
      </c>
    </row>
    <row r="16">
      <c r="A16" s="30" t="inlineStr"/>
    </row>
    <row r="17">
      <c r="A17" s="30" t="inlineStr">
        <is>
          <t>Dashboard KPI cells that are plain values (not live formulas) — Unique Customers, Repeat Purchase Rate, Busiest Day/Hour — are computed from the full cleaned dataset, which isn't stored row-by-row in this workbook. Re-run this script after refreshing your source data to update them.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2026-09-07T06:28:04Z</dcterms:created>
  <dcterms:modified xmlns:dcterms="http://purl.org/dc/terms/" xmlns:xsi="http://www.w3.org/2001/XMLSchema-instance" xsi:type="dcterms:W3CDTF">2026-09-07T06:28:04Z</dcterms:modified>
</cp:coreProperties>
</file>